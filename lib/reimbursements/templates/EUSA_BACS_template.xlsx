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xr:revisionPtr revIDLastSave="0" documentId="8_{F94EAEEC-3B3B-4CA7-ACC7-53B9A86AADB2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AUTHORISATION FORM" sheetId="1" r:id="rId1"/>
    <sheet name="BREAKDOWN" sheetId="2" r:id="rId2"/>
    <sheet name="LISTS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g6o/U6gvLienpetGFQrNl1Ocxuyw=="/>
    </ext>
  </extLst>
</workbook>
</file>

<file path=xl/calcChain.xml><?xml version="1.0" encoding="utf-8"?>
<calcChain xmlns="http://schemas.openxmlformats.org/spreadsheetml/2006/main">
  <c r="B36" i="2" l="1"/>
  <c r="C11" i="1"/>
  <c r="E17" i="1"/>
  <c r="C24" i="1" l="1"/>
  <c r="E23" i="1"/>
  <c r="C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" authorId="0" shapeId="0" xr:uid="{00000000-0006-0000-0100-000001000000}">
      <text>
        <r>
          <rPr>
            <sz val="11"/>
            <color theme="1"/>
            <rFont val="Arial"/>
          </rPr>
          <t>======
ID#AAAASUtfxAU
MCADAM Kerry    (2021-12-03 10:27:56)
Only complete if different to authorisation form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jtY1a/FplW1QPr6r79g40Caf8/pQ=="/>
    </ext>
  </extLst>
</comments>
</file>

<file path=xl/sharedStrings.xml><?xml version="1.0" encoding="utf-8"?>
<sst xmlns="http://schemas.openxmlformats.org/spreadsheetml/2006/main" count="109" uniqueCount="56">
  <si>
    <t>BANK PAYMENT INTERNAL BULK REQUEST</t>
  </si>
  <si>
    <t>Future dated</t>
  </si>
  <si>
    <t>Bedlam Theatre (EUTC)</t>
  </si>
  <si>
    <r>
      <rPr>
        <sz val="11"/>
        <color theme="1"/>
        <rFont val="Calibri"/>
      </rPr>
      <t xml:space="preserve">• </t>
    </r>
    <r>
      <rPr>
        <sz val="11"/>
        <color theme="1"/>
        <rFont val="Calibri"/>
      </rPr>
      <t>When completing this BACS request provide proof of bank details from PAYEE</t>
    </r>
  </si>
  <si>
    <r>
      <rPr>
        <sz val="11"/>
        <color theme="1"/>
        <rFont val="Calibri"/>
      </rPr>
      <t xml:space="preserve">• </t>
    </r>
    <r>
      <rPr>
        <sz val="11"/>
        <color theme="1"/>
        <rFont val="Calibri"/>
      </rPr>
      <t>Attach all relevant back up to expenditure.</t>
    </r>
  </si>
  <si>
    <t>PAYMENT DETAILS</t>
  </si>
  <si>
    <t>PAYEE:</t>
  </si>
  <si>
    <t>SEE BREAKDOWN TAB</t>
  </si>
  <si>
    <t>DESCRIPTION OF MULTIPLE PAYMENT</t>
  </si>
  <si>
    <t>AMOUNT £</t>
  </si>
  <si>
    <t>DATE REQUIRED</t>
  </si>
  <si>
    <r>
      <rPr>
        <b/>
        <sz val="11"/>
        <color theme="1"/>
        <rFont val="Calibri"/>
      </rPr>
      <t>BACKUP PROVIDED</t>
    </r>
    <r>
      <rPr>
        <b/>
        <sz val="11"/>
        <color theme="1"/>
        <rFont val="Wingdings 3"/>
      </rPr>
      <t></t>
    </r>
  </si>
  <si>
    <t>YES</t>
  </si>
  <si>
    <t>BACKUP DETAILS</t>
  </si>
  <si>
    <t>IF NO PLEASE STATE REASON</t>
  </si>
  <si>
    <t>BUDGET HOLDER AUTHORISATION</t>
  </si>
  <si>
    <t>NAME</t>
  </si>
  <si>
    <t>Mick Zijdel</t>
  </si>
  <si>
    <t>SIGNATURE</t>
  </si>
  <si>
    <t>DESIGNATION</t>
  </si>
  <si>
    <t>Bedlam Fringe Production Manager</t>
  </si>
  <si>
    <t>DATE</t>
  </si>
  <si>
    <t>FOR FINANCE USE</t>
  </si>
  <si>
    <r>
      <rPr>
        <b/>
        <sz val="11"/>
        <color theme="1"/>
        <rFont val="Calibri"/>
      </rPr>
      <t>SET UP IN CASH FLOW</t>
    </r>
    <r>
      <rPr>
        <b/>
        <sz val="11"/>
        <color theme="1"/>
        <rFont val="Wingdings 3"/>
      </rPr>
      <t></t>
    </r>
  </si>
  <si>
    <t>NOT REQUIRED</t>
  </si>
  <si>
    <t>AUTHORISATION</t>
  </si>
  <si>
    <t>UP TO £1,000:</t>
  </si>
  <si>
    <t>£10,000 AND OVER:</t>
  </si>
  <si>
    <t>£1,000 AND OVER:</t>
  </si>
  <si>
    <r>
      <rPr>
        <b/>
        <sz val="11"/>
        <color theme="1"/>
        <rFont val="Calibri"/>
      </rPr>
      <t>DESIGNATION</t>
    </r>
    <r>
      <rPr>
        <b/>
        <sz val="11"/>
        <color theme="1"/>
        <rFont val="Wingdings 3"/>
      </rPr>
      <t></t>
    </r>
  </si>
  <si>
    <t>HEAD OF FINANCE AND BUSINESS REPORTING</t>
  </si>
  <si>
    <t>BANK</t>
  </si>
  <si>
    <t>SET UP IN BANK BY</t>
  </si>
  <si>
    <t>TRANSFER COMPLETED BY</t>
  </si>
  <si>
    <t>SORT CODE (6 digits)</t>
  </si>
  <si>
    <t>ACCOUNT NUMBER (8 digits)</t>
  </si>
  <si>
    <t>NOMINAL CODE</t>
  </si>
  <si>
    <t>COST CENTRE</t>
  </si>
  <si>
    <r>
      <rPr>
        <b/>
        <sz val="11"/>
        <color theme="1"/>
        <rFont val="Calibri"/>
      </rPr>
      <t>PAYMENT REFERENCE</t>
    </r>
    <r>
      <rPr>
        <b/>
        <sz val="9"/>
        <color theme="1"/>
        <rFont val="Calibri"/>
      </rPr>
      <t xml:space="preserve"> (if required)</t>
    </r>
  </si>
  <si>
    <t>DESCRIPTION OF EXPENSE/NOTES</t>
  </si>
  <si>
    <t>E X AMPLE</t>
  </si>
  <si>
    <t>F40</t>
  </si>
  <si>
    <t>TRAVEL EXPENSE RECLAIM</t>
  </si>
  <si>
    <t>GRAND TOTAL</t>
  </si>
  <si>
    <t>SET UP IN CASHFLOW</t>
  </si>
  <si>
    <t>BACK UP</t>
  </si>
  <si>
    <t>DESIGINATION</t>
  </si>
  <si>
    <t>AUTHORISTION 10000+</t>
  </si>
  <si>
    <t>FINANCE ANALYST</t>
  </si>
  <si>
    <t>DIRECTOR</t>
  </si>
  <si>
    <t>NO</t>
  </si>
  <si>
    <t>CEO</t>
  </si>
  <si>
    <t>FINANCE TEAM CO-ORDINATOR</t>
  </si>
  <si>
    <t>N/A</t>
  </si>
  <si>
    <t>Authorised</t>
  </si>
  <si>
    <t>FINANCE TEAM CO-ORDINATOR or FINANCE ANALYST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</si>
</sst>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&quot;£&quot;#,##0.00"/>
    <numFmt numFmtId="166" formatCode="00\-00\-00"/>
    <numFmt numFmtId="167" formatCode="00000000"/>
    <numFmt numFmtId="168" formatCode="d/m/yyyy"/>
    <numFmt numFmtId="169" formatCode="[$-F800]dddd\,\ mmmm\ dd\,\ yyyy"/>
    <numFmt numFmtId="170" formatCode="_-&quot;£&quot;* #,##0.00_-;\-&quot;£&quot;* #,##0.00_-;_-&quot;£&quot;* &quot;-&quot;??_-;_-@"/>
  </numFmts>
  <fonts count="10">
    <font>
      <sz val="11"/>
      <color theme="1"/>
      <name val="Arial"/>
    </font>
    <font>
      <b/>
      <sz val="20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2"/>
      <color theme="1"/>
      <name val="Calibri"/>
    </font>
    <font>
      <sz val="11"/>
      <name val="Arial"/>
    </font>
    <font>
      <sz val="11"/>
      <color rgb="FF000000"/>
      <name val="Calibri"/>
    </font>
    <font>
      <sz val="10"/>
      <color theme="1"/>
      <name val="Calibri"/>
    </font>
    <font>
      <b/>
      <sz val="11"/>
      <color theme="1"/>
      <name val="Wingdings 3"/>
    </font>
    <font>
      <b/>
      <sz val="9"/>
      <color theme="1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FEFFF3"/>
        <bgColor rgb="FFFEFFF3"/>
      </patternFill>
    </fill>
    <fill>
      <patternFill patternType="solid">
        <fgColor rgb="FFF9D1FB"/>
        <bgColor rgb="FFF9D1FB"/>
      </patternFill>
    </fill>
    <fill>
      <patternFill patternType="solid">
        <fgColor rgb="FFE7E6E6"/>
        <bgColor rgb="FFE7E6E6"/>
      </patternFill>
    </fill>
    <fill>
      <patternFill patternType="solid">
        <fgColor rgb="FFECECEC"/>
        <bgColor rgb="FFECECEC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FBE4D5"/>
        <bgColor rgb="FFFBE4D5"/>
      </patternFill>
    </fill>
    <fill>
      <patternFill patternType="solid">
        <fgColor rgb="FFDEEAF6"/>
        <bgColor rgb="FFDEEAF6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3" fillId="2" borderId="7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5" fontId="2" fillId="3" borderId="7" xfId="0" applyNumberFormat="1" applyFont="1" applyFill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7" fontId="2" fillId="0" borderId="0" xfId="0" applyNumberFormat="1" applyFont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6" fillId="0" borderId="0" xfId="0" applyFont="1"/>
    <xf numFmtId="0" fontId="3" fillId="4" borderId="1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168" fontId="2" fillId="0" borderId="7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0" fontId="2" fillId="6" borderId="13" xfId="0" applyFont="1" applyFill="1" applyBorder="1"/>
    <xf numFmtId="0" fontId="3" fillId="6" borderId="7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 wrapText="1"/>
    </xf>
    <xf numFmtId="169" fontId="2" fillId="0" borderId="7" xfId="0" applyNumberFormat="1" applyFont="1" applyBorder="1" applyAlignment="1">
      <alignment horizontal="center" vertical="center"/>
    </xf>
    <xf numFmtId="0" fontId="3" fillId="8" borderId="7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170" fontId="2" fillId="9" borderId="7" xfId="0" applyNumberFormat="1" applyFont="1" applyFill="1" applyBorder="1" applyAlignment="1">
      <alignment horizontal="center" vertical="center"/>
    </xf>
    <xf numFmtId="166" fontId="2" fillId="9" borderId="7" xfId="0" applyNumberFormat="1" applyFont="1" applyFill="1" applyBorder="1" applyAlignment="1">
      <alignment horizontal="center" vertical="center"/>
    </xf>
    <xf numFmtId="167" fontId="2" fillId="9" borderId="7" xfId="0" applyNumberFormat="1" applyFont="1" applyFill="1" applyBorder="1" applyAlignment="1">
      <alignment horizontal="center" vertical="center"/>
    </xf>
    <xf numFmtId="170" fontId="2" fillId="0" borderId="7" xfId="0" applyNumberFormat="1" applyFont="1" applyBorder="1" applyAlignment="1">
      <alignment horizontal="center" vertical="center"/>
    </xf>
    <xf numFmtId="166" fontId="2" fillId="0" borderId="7" xfId="0" applyNumberFormat="1" applyFont="1" applyBorder="1" applyAlignment="1">
      <alignment horizontal="center" vertical="center"/>
    </xf>
    <xf numFmtId="167" fontId="2" fillId="0" borderId="7" xfId="0" applyNumberFormat="1" applyFont="1" applyBorder="1" applyAlignment="1">
      <alignment horizontal="center" vertical="center"/>
    </xf>
    <xf numFmtId="170" fontId="3" fillId="2" borderId="7" xfId="0" applyNumberFormat="1" applyFont="1" applyFill="1" applyBorder="1" applyAlignment="1">
      <alignment horizontal="center" vertical="center"/>
    </xf>
    <xf numFmtId="0" fontId="3" fillId="7" borderId="13" xfId="0" applyFont="1" applyFill="1" applyBorder="1"/>
    <xf numFmtId="0" fontId="3" fillId="10" borderId="13" xfId="0" applyFont="1" applyFill="1" applyBorder="1" applyAlignment="1">
      <alignment horizontal="center"/>
    </xf>
    <xf numFmtId="0" fontId="3" fillId="11" borderId="13" xfId="0" applyFont="1" applyFill="1" applyBorder="1" applyAlignment="1">
      <alignment horizontal="center"/>
    </xf>
    <xf numFmtId="0" fontId="3" fillId="6" borderId="13" xfId="0" applyFont="1" applyFill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0" fontId="2" fillId="10" borderId="13" xfId="0" applyFont="1" applyFill="1" applyBorder="1" applyAlignment="1">
      <alignment horizontal="center"/>
    </xf>
    <xf numFmtId="0" fontId="2" fillId="11" borderId="13" xfId="0" applyFont="1" applyFill="1" applyBorder="1" applyAlignment="1">
      <alignment horizontal="center"/>
    </xf>
    <xf numFmtId="0" fontId="2" fillId="6" borderId="13" xfId="0" applyFont="1" applyFill="1" applyBorder="1" applyAlignment="1">
      <alignment horizontal="center"/>
    </xf>
    <xf numFmtId="0" fontId="7" fillId="11" borderId="13" xfId="0" applyFont="1" applyFill="1" applyBorder="1" applyAlignment="1">
      <alignment horizontal="center"/>
    </xf>
    <xf numFmtId="0" fontId="3" fillId="12" borderId="13" xfId="0" applyFont="1" applyFill="1" applyBorder="1"/>
    <xf numFmtId="0" fontId="7" fillId="12" borderId="13" xfId="0" applyFont="1" applyFill="1" applyBorder="1"/>
    <xf numFmtId="0" fontId="2" fillId="12" borderId="13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wrapText="1"/>
    </xf>
    <xf numFmtId="0" fontId="2" fillId="6" borderId="11" xfId="0" applyFont="1" applyFill="1" applyBorder="1"/>
    <xf numFmtId="0" fontId="3" fillId="7" borderId="10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169" fontId="2" fillId="6" borderId="11" xfId="0" applyNumberFormat="1" applyFont="1" applyFill="1" applyBorder="1" applyAlignment="1">
      <alignment horizontal="center" vertical="center"/>
    </xf>
    <xf numFmtId="164" fontId="2" fillId="0" borderId="0" xfId="0" applyNumberFormat="1" applyFont="1"/>
    <xf numFmtId="0" fontId="6" fillId="0" borderId="7" xfId="0" applyFont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vertical="center"/>
    </xf>
    <xf numFmtId="0" fontId="2" fillId="0" borderId="7" xfId="0" quotePrefix="1" applyFont="1" applyBorder="1" applyAlignment="1">
      <alignment horizontal="center" vertical="center"/>
    </xf>
    <xf numFmtId="170" fontId="2" fillId="0" borderId="7" xfId="0" applyNumberFormat="1" applyFont="1" applyBorder="1" applyAlignment="1">
      <alignment horizontal="center" vertical="center" wrapText="1"/>
    </xf>
    <xf numFmtId="49" fontId="0" fillId="0" borderId="15" xfId="0" quotePrefix="1" applyNumberFormat="1" applyBorder="1"/>
    <xf numFmtId="0" fontId="3" fillId="5" borderId="13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top"/>
    </xf>
    <xf numFmtId="0" fontId="4" fillId="4" borderId="10" xfId="0" applyFont="1" applyFill="1" applyBorder="1" applyAlignment="1">
      <alignment horizontal="center" vertical="center"/>
    </xf>
    <xf numFmtId="0" fontId="5" fillId="0" borderId="5" xfId="0" applyFont="1" applyBorder="1" applyAlignment="1"/>
    <xf numFmtId="0" fontId="5" fillId="0" borderId="6" xfId="0" applyFont="1" applyBorder="1" applyAlignment="1"/>
    <xf numFmtId="0" fontId="5" fillId="0" borderId="9" xfId="0" applyFont="1" applyBorder="1" applyAlignment="1"/>
    <xf numFmtId="0" fontId="5" fillId="0" borderId="11" xfId="0" applyFont="1" applyBorder="1" applyAlignment="1"/>
    <xf numFmtId="0" fontId="5" fillId="0" borderId="12" xfId="0" applyFont="1" applyBorder="1" applyAlignment="1"/>
    <xf numFmtId="0" fontId="5" fillId="0" borderId="13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219075</xdr:colOff>
      <xdr:row>1</xdr:row>
      <xdr:rowOff>57150</xdr:rowOff>
    </xdr:from>
    <xdr:ext cx="1476375" cy="57150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Z1000"/>
  <sheetViews>
    <sheetView tabSelected="1" workbookViewId="0">
      <selection activeCell="C16" sqref="C16:C17"/>
    </sheetView>
  </sheetViews>
  <sheetFormatPr defaultColWidth="12.625" defaultRowHeight="15" customHeight="1"/>
  <cols>
    <col min="1" max="1" width="1.125" customWidth="1"/>
    <col min="2" max="2" width="21.25" customWidth="1"/>
    <col min="3" max="3" width="32.125" customWidth="1"/>
    <col min="4" max="4" width="25.875" customWidth="1"/>
    <col min="5" max="5" width="26.375" customWidth="1"/>
    <col min="6" max="6" width="1.125" customWidth="1"/>
    <col min="7" max="26" width="7.625" customWidth="1"/>
  </cols>
  <sheetData>
    <row r="2" spans="1:26">
      <c r="D2" s="1"/>
      <c r="E2" s="1" t="s">
        <v>0</v>
      </c>
    </row>
    <row r="3" spans="1:26">
      <c r="B3" s="2"/>
      <c r="C3" s="2"/>
      <c r="D3" s="3"/>
      <c r="E3" s="4" t="s">
        <v>1</v>
      </c>
    </row>
    <row r="4" spans="1:26">
      <c r="D4" s="3" t="s">
        <v>2</v>
      </c>
    </row>
    <row r="6" spans="1:26">
      <c r="B6" s="62" t="s">
        <v>3</v>
      </c>
      <c r="C6" s="63"/>
      <c r="D6" s="63"/>
      <c r="E6" s="64"/>
    </row>
    <row r="7" spans="1:26" ht="17.25" customHeight="1">
      <c r="B7" s="5" t="s">
        <v>4</v>
      </c>
      <c r="C7" s="6"/>
      <c r="D7" s="6"/>
      <c r="E7" s="7"/>
    </row>
    <row r="8" spans="1:26" ht="17.25" customHeight="1">
      <c r="B8" s="86" t="s">
        <v>5</v>
      </c>
      <c r="C8" s="91"/>
      <c r="D8" s="91"/>
      <c r="E8" s="92"/>
    </row>
    <row r="9" spans="1:26" ht="34.5" customHeight="1">
      <c r="B9" s="8" t="s">
        <v>6</v>
      </c>
      <c r="C9" s="87" t="s">
        <v>7</v>
      </c>
      <c r="D9" s="91"/>
      <c r="E9" s="92"/>
    </row>
    <row r="10" spans="1:26" ht="48.75" customHeight="1">
      <c r="B10" s="9" t="s">
        <v>8</v>
      </c>
      <c r="C10" s="88"/>
      <c r="D10" s="91"/>
      <c r="E10" s="92"/>
    </row>
    <row r="11" spans="1:26" ht="30" customHeight="1">
      <c r="B11" s="8" t="s">
        <v>9</v>
      </c>
      <c r="C11" s="11">
        <f>SUM(BREAKDOWN!B3:B34)</f>
        <v>0</v>
      </c>
      <c r="D11" s="8" t="s">
        <v>10</v>
      </c>
      <c r="E11" s="12"/>
    </row>
    <row r="12" spans="1:26" ht="32.25" customHeight="1">
      <c r="B12" s="8" t="s">
        <v>11</v>
      </c>
      <c r="C12" s="10" t="s">
        <v>12</v>
      </c>
      <c r="D12" s="65" t="s">
        <v>13</v>
      </c>
      <c r="E12" s="89"/>
    </row>
    <row r="13" spans="1:26" ht="32.25" customHeight="1">
      <c r="B13" s="9" t="s">
        <v>14</v>
      </c>
      <c r="C13" s="13"/>
      <c r="D13" s="66"/>
      <c r="E13" s="93"/>
    </row>
    <row r="14" spans="1:26" ht="8.25" customHeight="1">
      <c r="A14" s="2"/>
      <c r="B14" s="14"/>
      <c r="C14" s="15"/>
      <c r="D14" s="16"/>
      <c r="E14" s="1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B15" s="90" t="s">
        <v>15</v>
      </c>
      <c r="C15" s="94"/>
      <c r="D15" s="94"/>
      <c r="E15" s="95"/>
    </row>
    <row r="16" spans="1:26" ht="32.25" customHeight="1">
      <c r="B16" s="18" t="s">
        <v>16</v>
      </c>
      <c r="C16" s="19" t="s">
        <v>17</v>
      </c>
      <c r="D16" s="18" t="s">
        <v>18</v>
      </c>
      <c r="E16" s="20"/>
    </row>
    <row r="17" spans="1:26" ht="32.25" customHeight="1">
      <c r="B17" s="21" t="s">
        <v>19</v>
      </c>
      <c r="C17" s="22" t="s">
        <v>20</v>
      </c>
      <c r="D17" s="23" t="s">
        <v>21</v>
      </c>
      <c r="E17" s="24">
        <f ca="1">TODAY()</f>
        <v>46158</v>
      </c>
    </row>
    <row r="18" spans="1:26" ht="16.5" customHeight="1">
      <c r="B18" s="14"/>
      <c r="C18" s="25"/>
      <c r="D18" s="16"/>
      <c r="E18" s="26"/>
    </row>
    <row r="19" spans="1:26" ht="13.5" customHeight="1">
      <c r="A19" s="83" t="s">
        <v>22</v>
      </c>
      <c r="B19" s="96"/>
      <c r="C19" s="96"/>
      <c r="D19" s="96"/>
      <c r="E19" s="96"/>
      <c r="F19" s="96"/>
    </row>
    <row r="20" spans="1:26" ht="24.75" customHeight="1">
      <c r="A20" s="27"/>
      <c r="B20" s="28" t="s">
        <v>23</v>
      </c>
      <c r="C20" s="29" t="s">
        <v>24</v>
      </c>
      <c r="D20" s="30"/>
      <c r="E20" s="31"/>
      <c r="F20" s="27"/>
    </row>
    <row r="21" spans="1:26" ht="6" customHeight="1">
      <c r="A21" s="27"/>
      <c r="B21" s="67"/>
      <c r="C21" s="68"/>
      <c r="D21" s="69"/>
      <c r="E21" s="70"/>
      <c r="F21" s="27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27"/>
      <c r="B22" s="84" t="s">
        <v>25</v>
      </c>
      <c r="C22" s="91"/>
      <c r="D22" s="91"/>
      <c r="E22" s="92"/>
      <c r="F22" s="27"/>
    </row>
    <row r="23" spans="1:26" ht="39" customHeight="1">
      <c r="A23" s="27"/>
      <c r="B23" s="32" t="s">
        <v>26</v>
      </c>
      <c r="C23" s="33" t="str">
        <f>IF(C11&lt;=999.99, LISTS!A9,LISTS!A12)</f>
        <v>FINANCE TEAM CO-ORDINATOR or FINANCE ANALYST</v>
      </c>
      <c r="D23" s="71" t="s">
        <v>27</v>
      </c>
      <c r="E23" s="72" t="str">
        <f>IF(C11&gt;=10000,LISTS!A13,LISTS!A12)</f>
        <v>N/A</v>
      </c>
      <c r="F23" s="27"/>
    </row>
    <row r="24" spans="1:26" ht="41.25" customHeight="1">
      <c r="A24" s="27"/>
      <c r="B24" s="34" t="s">
        <v>28</v>
      </c>
      <c r="C24" s="35" t="str">
        <f>IF(C11&gt;=1000,LISTS!A11,LISTS!A12)</f>
        <v>N/A</v>
      </c>
      <c r="D24" s="36"/>
      <c r="E24" s="37"/>
      <c r="F24" s="27"/>
    </row>
    <row r="25" spans="1:26" ht="30" customHeight="1">
      <c r="A25" s="27"/>
      <c r="B25" s="73" t="s">
        <v>16</v>
      </c>
      <c r="C25" s="22"/>
      <c r="D25" s="38" t="s">
        <v>16</v>
      </c>
      <c r="E25" s="22"/>
      <c r="F25" s="27"/>
    </row>
    <row r="26" spans="1:26" ht="54.75" customHeight="1">
      <c r="A26" s="27"/>
      <c r="B26" s="38" t="s">
        <v>18</v>
      </c>
      <c r="C26" s="19"/>
      <c r="D26" s="38" t="s">
        <v>18</v>
      </c>
      <c r="E26" s="19"/>
      <c r="F26" s="27"/>
    </row>
    <row r="27" spans="1:26" ht="30.75" customHeight="1">
      <c r="A27" s="27"/>
      <c r="B27" s="38" t="s">
        <v>29</v>
      </c>
      <c r="C27" s="39" t="s">
        <v>30</v>
      </c>
      <c r="D27" s="38" t="s">
        <v>29</v>
      </c>
      <c r="E27" s="29"/>
      <c r="F27" s="27"/>
    </row>
    <row r="28" spans="1:26" ht="33" customHeight="1">
      <c r="A28" s="27"/>
      <c r="B28" s="38" t="s">
        <v>21</v>
      </c>
      <c r="C28" s="40"/>
      <c r="D28" s="38" t="s">
        <v>21</v>
      </c>
      <c r="E28" s="40"/>
      <c r="F28" s="27"/>
    </row>
    <row r="29" spans="1:26" ht="7.5" customHeight="1">
      <c r="A29" s="27"/>
      <c r="B29" s="67"/>
      <c r="C29" s="74"/>
      <c r="D29" s="67"/>
      <c r="E29" s="74"/>
      <c r="F29" s="27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customHeight="1">
      <c r="A30" s="27"/>
      <c r="B30" s="85" t="s">
        <v>31</v>
      </c>
      <c r="C30" s="94"/>
      <c r="D30" s="94"/>
      <c r="E30" s="95"/>
      <c r="F30" s="27"/>
    </row>
    <row r="31" spans="1:26" ht="33" customHeight="1">
      <c r="A31" s="27"/>
      <c r="B31" s="41" t="s">
        <v>32</v>
      </c>
      <c r="C31" s="40"/>
      <c r="D31" s="41" t="s">
        <v>21</v>
      </c>
      <c r="E31" s="40"/>
      <c r="F31" s="27"/>
    </row>
    <row r="32" spans="1:26" ht="33" customHeight="1">
      <c r="A32" s="27"/>
      <c r="B32" s="41" t="s">
        <v>33</v>
      </c>
      <c r="C32" s="40"/>
      <c r="D32" s="41" t="s">
        <v>21</v>
      </c>
      <c r="E32" s="40"/>
      <c r="F32" s="27"/>
    </row>
    <row r="33" spans="1:6" ht="5.25" customHeight="1">
      <c r="A33" s="27"/>
      <c r="B33" s="27"/>
      <c r="C33" s="27"/>
      <c r="D33" s="27"/>
      <c r="E33" s="27"/>
      <c r="F33" s="27"/>
    </row>
    <row r="34" spans="1:6" ht="15.75" customHeight="1"/>
    <row r="35" spans="1:6" ht="15.75" customHeight="1"/>
    <row r="36" spans="1:6" ht="15.75" customHeight="1"/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9:F19"/>
    <mergeCell ref="B22:E22"/>
    <mergeCell ref="B30:E30"/>
    <mergeCell ref="B8:E8"/>
    <mergeCell ref="C9:E9"/>
    <mergeCell ref="C10:E10"/>
    <mergeCell ref="E12:E13"/>
    <mergeCell ref="B15:E15"/>
  </mergeCells>
  <pageMargins left="0.25" right="0.25" top="0.75" bottom="0.75" header="0" footer="0"/>
  <pageSetup paperSize="9" orientation="portrait"/>
  <headerFooter>
    <oddFooter>&amp;L&amp;F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0000000}">
          <x14:formula1>
            <xm:f>LISTS!$E$3:$E$6</xm:f>
          </x14:formula1>
          <xm:sqref>C27</xm:sqref>
        </x14:dataValidation>
        <x14:dataValidation type="list" allowBlank="1" showErrorMessage="1" xr:uid="{00000000-0002-0000-0000-000001000000}">
          <x14:formula1>
            <xm:f>LISTS!$G$3:$G$6</xm:f>
          </x14:formula1>
          <xm:sqref>E27</xm:sqref>
        </x14:dataValidation>
        <x14:dataValidation type="list" allowBlank="1" showErrorMessage="1" xr:uid="{00000000-0002-0000-0000-000002000000}">
          <x14:formula1>
            <xm:f>LISTS!$A$3:$A$4</xm:f>
          </x14:formula1>
          <xm:sqref>C20</xm:sqref>
        </x14:dataValidation>
        <x14:dataValidation type="list" allowBlank="1" showErrorMessage="1" xr:uid="{00000000-0002-0000-0000-000003000000}">
          <x14:formula1>
            <xm:f>LISTS!$C$3:$C$4</xm:f>
          </x14:formula1>
          <xm:sqref>C12 E20 C21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1"/>
  <sheetViews>
    <sheetView workbookViewId="0">
      <selection activeCell="F3" sqref="F3"/>
    </sheetView>
  </sheetViews>
  <sheetFormatPr defaultColWidth="12.625" defaultRowHeight="15" customHeight="1"/>
  <cols>
    <col min="1" max="1" width="31" customWidth="1"/>
    <col min="2" max="2" width="12.75" customWidth="1"/>
    <col min="3" max="3" width="17.5" customWidth="1"/>
    <col min="4" max="4" width="22.625" customWidth="1"/>
    <col min="5" max="5" width="12.875" customWidth="1"/>
    <col min="6" max="6" width="12.125" customWidth="1"/>
    <col min="7" max="7" width="25.125" customWidth="1"/>
    <col min="8" max="8" width="51.125" customWidth="1"/>
    <col min="9" max="9" width="11.25" customWidth="1"/>
    <col min="10" max="26" width="7.625" customWidth="1"/>
  </cols>
  <sheetData>
    <row r="1" spans="1:26">
      <c r="A1" s="8" t="s">
        <v>6</v>
      </c>
      <c r="B1" s="8" t="s">
        <v>9</v>
      </c>
      <c r="C1" s="8" t="s">
        <v>34</v>
      </c>
      <c r="D1" s="9" t="s">
        <v>35</v>
      </c>
      <c r="E1" s="8" t="s">
        <v>36</v>
      </c>
      <c r="F1" s="8" t="s">
        <v>37</v>
      </c>
      <c r="G1" s="79" t="s">
        <v>38</v>
      </c>
      <c r="H1" s="9" t="s">
        <v>39</v>
      </c>
    </row>
    <row r="2" spans="1:26">
      <c r="A2" s="42" t="s">
        <v>40</v>
      </c>
      <c r="B2" s="43">
        <v>250.57</v>
      </c>
      <c r="C2" s="44">
        <v>202020</v>
      </c>
      <c r="D2" s="45">
        <v>5050236</v>
      </c>
      <c r="E2" s="42">
        <v>439999</v>
      </c>
      <c r="F2" s="42" t="s">
        <v>41</v>
      </c>
      <c r="G2" s="42"/>
      <c r="H2" s="42" t="s">
        <v>42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30" customHeight="1">
      <c r="A3" s="77"/>
      <c r="B3" s="46"/>
      <c r="C3" s="47"/>
      <c r="D3" s="48"/>
      <c r="E3" s="19"/>
      <c r="F3" s="19" t="s">
        <v>41</v>
      </c>
      <c r="G3" s="82"/>
      <c r="H3" s="19"/>
      <c r="I3" s="75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30" customHeight="1">
      <c r="A4" s="77"/>
      <c r="B4" s="46"/>
      <c r="C4" s="47"/>
      <c r="D4" s="48"/>
      <c r="E4" s="19"/>
      <c r="F4" s="19" t="s">
        <v>41</v>
      </c>
      <c r="G4" s="19"/>
      <c r="H4" s="19"/>
      <c r="I4" s="75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30" customHeight="1">
      <c r="A5" s="77"/>
      <c r="B5" s="46"/>
      <c r="C5" s="47"/>
      <c r="D5" s="48"/>
      <c r="E5" s="19"/>
      <c r="F5" s="19" t="s">
        <v>41</v>
      </c>
      <c r="G5" s="19"/>
      <c r="H5" s="19"/>
      <c r="I5" s="75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30" customHeight="1">
      <c r="A6" s="77"/>
      <c r="B6" s="46"/>
      <c r="C6" s="47"/>
      <c r="D6" s="48"/>
      <c r="E6" s="19"/>
      <c r="F6" s="19" t="s">
        <v>41</v>
      </c>
      <c r="G6" s="19"/>
      <c r="H6" s="78"/>
      <c r="I6" s="75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30" customHeight="1">
      <c r="A7" s="77"/>
      <c r="B7" s="81"/>
      <c r="C7" s="47"/>
      <c r="D7" s="48"/>
      <c r="E7" s="19"/>
      <c r="F7" s="19" t="s">
        <v>41</v>
      </c>
      <c r="G7" s="19"/>
      <c r="H7" s="19"/>
      <c r="I7" s="75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30" customHeight="1">
      <c r="A8" s="77"/>
      <c r="B8" s="81"/>
      <c r="C8" s="47"/>
      <c r="D8" s="48"/>
      <c r="E8" s="19"/>
      <c r="F8" s="19" t="s">
        <v>41</v>
      </c>
      <c r="G8" s="19"/>
      <c r="H8" s="19"/>
      <c r="I8" s="75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30" customHeight="1">
      <c r="A9" s="77"/>
      <c r="B9" s="46"/>
      <c r="C9" s="47"/>
      <c r="D9" s="48"/>
      <c r="E9" s="19"/>
      <c r="F9" s="19" t="s">
        <v>41</v>
      </c>
      <c r="G9" s="19"/>
      <c r="H9" s="19"/>
      <c r="I9" s="75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30" customHeight="1">
      <c r="A10" s="77"/>
      <c r="B10" s="46"/>
      <c r="C10" s="47"/>
      <c r="D10" s="48"/>
      <c r="E10" s="19"/>
      <c r="F10" s="19" t="s">
        <v>41</v>
      </c>
      <c r="G10" s="19"/>
      <c r="H10" s="19"/>
      <c r="I10" s="75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30" customHeight="1">
      <c r="A11" s="77"/>
      <c r="B11" s="46"/>
      <c r="C11" s="47"/>
      <c r="D11" s="48"/>
      <c r="E11" s="19"/>
      <c r="F11" s="19" t="s">
        <v>41</v>
      </c>
      <c r="G11" s="80"/>
      <c r="H11" s="19"/>
      <c r="I11" s="75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30" customHeight="1">
      <c r="A12" s="77"/>
      <c r="B12" s="46"/>
      <c r="C12" s="47"/>
      <c r="D12" s="48"/>
      <c r="E12" s="19"/>
      <c r="F12" s="19" t="s">
        <v>41</v>
      </c>
      <c r="G12" s="19"/>
      <c r="H12" s="19"/>
      <c r="I12" s="75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30" customHeight="1">
      <c r="A13" s="77"/>
      <c r="B13" s="46"/>
      <c r="C13" s="47"/>
      <c r="D13" s="48"/>
      <c r="E13" s="19"/>
      <c r="F13" s="19" t="s">
        <v>41</v>
      </c>
      <c r="G13" s="19"/>
      <c r="H13" s="19"/>
      <c r="I13" s="75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30" customHeight="1">
      <c r="A14" s="77"/>
      <c r="B14" s="46"/>
      <c r="C14" s="47"/>
      <c r="D14" s="48"/>
      <c r="E14" s="19"/>
      <c r="F14" s="19" t="s">
        <v>41</v>
      </c>
      <c r="G14" s="19"/>
      <c r="H14" s="19"/>
      <c r="I14" s="75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30" customHeight="1">
      <c r="A15" s="77"/>
      <c r="B15" s="46"/>
      <c r="C15" s="47"/>
      <c r="D15" s="48"/>
      <c r="E15" s="19"/>
      <c r="F15" s="19" t="s">
        <v>41</v>
      </c>
      <c r="G15" s="19"/>
      <c r="H15" s="19"/>
      <c r="I15" s="75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30" customHeight="1">
      <c r="A16" s="77"/>
      <c r="B16" s="46"/>
      <c r="C16" s="47"/>
      <c r="D16" s="48"/>
      <c r="E16" s="19"/>
      <c r="F16" s="19" t="s">
        <v>41</v>
      </c>
      <c r="G16" s="19"/>
      <c r="H16" s="19"/>
      <c r="I16" s="75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30" customHeight="1">
      <c r="A17" s="77"/>
      <c r="B17" s="46"/>
      <c r="C17" s="47"/>
      <c r="D17" s="48"/>
      <c r="E17" s="19"/>
      <c r="F17" s="19" t="s">
        <v>41</v>
      </c>
      <c r="G17" s="19"/>
      <c r="H17" s="19"/>
      <c r="I17" s="75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30" customHeight="1">
      <c r="A18" s="77"/>
      <c r="B18" s="46"/>
      <c r="C18" s="47"/>
      <c r="D18" s="48"/>
      <c r="E18" s="19"/>
      <c r="F18" s="19" t="s">
        <v>41</v>
      </c>
      <c r="G18" s="19"/>
      <c r="H18" s="19"/>
      <c r="I18" s="75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30" customHeight="1">
      <c r="A19" s="19"/>
      <c r="B19" s="46"/>
      <c r="C19" s="47"/>
      <c r="D19" s="48"/>
      <c r="E19" s="19"/>
      <c r="F19" s="19" t="s">
        <v>41</v>
      </c>
      <c r="G19" s="19"/>
      <c r="H19" s="19"/>
      <c r="I19" s="75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30" customHeight="1">
      <c r="A20" s="19"/>
      <c r="B20" s="46"/>
      <c r="C20" s="48"/>
      <c r="D20" s="48"/>
      <c r="E20" s="19"/>
      <c r="F20" s="19" t="s">
        <v>41</v>
      </c>
      <c r="G20" s="19"/>
      <c r="H20" s="19"/>
      <c r="I20" s="75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30" customHeight="1">
      <c r="A21" s="19"/>
      <c r="B21" s="46"/>
      <c r="C21" s="47"/>
      <c r="D21" s="48"/>
      <c r="E21" s="19"/>
      <c r="F21" s="19" t="s">
        <v>41</v>
      </c>
      <c r="G21" s="19"/>
      <c r="H21" s="19"/>
      <c r="I21" s="75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30" customHeight="1">
      <c r="A22" s="19"/>
      <c r="B22" s="46"/>
      <c r="C22" s="47"/>
      <c r="D22" s="48"/>
      <c r="E22" s="19"/>
      <c r="F22" s="19" t="s">
        <v>41</v>
      </c>
      <c r="G22" s="19"/>
      <c r="H22" s="19"/>
      <c r="I22" s="75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30" customHeight="1">
      <c r="A23" s="19"/>
      <c r="B23" s="46"/>
      <c r="C23" s="47"/>
      <c r="D23" s="48"/>
      <c r="E23" s="19"/>
      <c r="F23" s="19" t="s">
        <v>41</v>
      </c>
      <c r="G23" s="19"/>
      <c r="H23" s="19"/>
      <c r="I23" s="75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30" customHeight="1">
      <c r="A24" s="19"/>
      <c r="B24" s="46"/>
      <c r="C24" s="47"/>
      <c r="D24" s="48"/>
      <c r="E24" s="19"/>
      <c r="F24" s="19" t="s">
        <v>41</v>
      </c>
      <c r="G24" s="19"/>
      <c r="H24" s="19"/>
      <c r="I24" s="75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30" customHeight="1">
      <c r="A25" s="19"/>
      <c r="B25" s="46"/>
      <c r="C25" s="47"/>
      <c r="D25" s="48"/>
      <c r="E25" s="19"/>
      <c r="F25" s="19" t="s">
        <v>41</v>
      </c>
      <c r="G25" s="19"/>
      <c r="H25" s="19"/>
      <c r="I25" s="75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30" customHeight="1">
      <c r="A26" s="76"/>
      <c r="B26" s="46"/>
      <c r="C26" s="47"/>
      <c r="D26" s="48"/>
      <c r="E26" s="19"/>
      <c r="F26" s="19" t="s">
        <v>41</v>
      </c>
      <c r="G26" s="19"/>
      <c r="H26" s="19"/>
      <c r="I26" s="75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30" customHeight="1">
      <c r="A27" s="19"/>
      <c r="B27" s="46"/>
      <c r="C27" s="47"/>
      <c r="D27" s="48"/>
      <c r="E27" s="19"/>
      <c r="F27" s="19" t="s">
        <v>41</v>
      </c>
      <c r="G27" s="19"/>
      <c r="H27" s="19"/>
      <c r="I27" s="75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30" customHeight="1">
      <c r="A28" s="19"/>
      <c r="B28" s="46"/>
      <c r="C28" s="47"/>
      <c r="D28" s="48"/>
      <c r="E28" s="19"/>
      <c r="F28" s="19" t="s">
        <v>41</v>
      </c>
      <c r="G28" s="19"/>
      <c r="H28" s="19"/>
      <c r="I28" s="75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30" customHeight="1">
      <c r="A29" s="19"/>
      <c r="B29" s="46"/>
      <c r="C29" s="47"/>
      <c r="D29" s="48"/>
      <c r="E29" s="19"/>
      <c r="F29" s="19" t="s">
        <v>41</v>
      </c>
      <c r="G29" s="19"/>
      <c r="H29" s="19"/>
      <c r="I29" s="75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30" customHeight="1">
      <c r="A30" s="19"/>
      <c r="B30" s="46"/>
      <c r="C30" s="47"/>
      <c r="D30" s="48"/>
      <c r="E30" s="19"/>
      <c r="F30" s="19" t="s">
        <v>41</v>
      </c>
      <c r="G30" s="19"/>
      <c r="H30" s="19"/>
      <c r="I30" s="75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30" customHeight="1">
      <c r="A31" s="19"/>
      <c r="B31" s="46"/>
      <c r="C31" s="47"/>
      <c r="D31" s="48"/>
      <c r="E31" s="19"/>
      <c r="F31" s="19" t="s">
        <v>41</v>
      </c>
      <c r="G31" s="19"/>
      <c r="H31" s="19"/>
      <c r="I31" s="75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30" customHeight="1">
      <c r="A32" s="19"/>
      <c r="B32" s="46"/>
      <c r="C32" s="47"/>
      <c r="D32" s="48"/>
      <c r="E32" s="19"/>
      <c r="F32" s="19" t="s">
        <v>41</v>
      </c>
      <c r="G32" s="19"/>
      <c r="H32" s="19"/>
      <c r="I32" s="75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30" customHeight="1">
      <c r="A33" s="19"/>
      <c r="B33" s="46"/>
      <c r="C33" s="47"/>
      <c r="D33" s="48"/>
      <c r="E33" s="19"/>
      <c r="F33" s="19" t="s">
        <v>41</v>
      </c>
      <c r="G33" s="19"/>
      <c r="H33" s="19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30" customHeight="1">
      <c r="A34" s="19"/>
      <c r="B34" s="46"/>
      <c r="C34" s="47"/>
      <c r="D34" s="48"/>
      <c r="E34" s="19"/>
      <c r="F34" s="19" t="s">
        <v>41</v>
      </c>
      <c r="G34" s="19"/>
      <c r="H34" s="19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30" customHeight="1">
      <c r="A35" s="19"/>
      <c r="B35" s="46"/>
      <c r="C35" s="47"/>
      <c r="D35" s="48"/>
      <c r="E35" s="19"/>
      <c r="F35" s="19" t="s">
        <v>41</v>
      </c>
      <c r="G35" s="19"/>
      <c r="H35" s="19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30" customHeight="1">
      <c r="A36" s="8" t="s">
        <v>43</v>
      </c>
      <c r="B36" s="49">
        <f>SUM(B3:B34)</f>
        <v>0</v>
      </c>
      <c r="C36" s="8"/>
      <c r="D36" s="8"/>
      <c r="E36" s="8"/>
      <c r="F36" s="8"/>
      <c r="G36" s="8"/>
      <c r="H36" s="8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/>
    <row r="38" spans="1:26" ht="15.75" customHeight="1"/>
    <row r="39" spans="1:26" ht="15.75" customHeight="1"/>
    <row r="40" spans="1:26" ht="15.75" customHeight="1"/>
    <row r="41" spans="1:26" ht="15.75" customHeight="1"/>
    <row r="42" spans="1:26" ht="15.75" customHeight="1"/>
    <row r="43" spans="1:26" ht="15.75" customHeight="1"/>
    <row r="44" spans="1:26" ht="15.75" customHeight="1"/>
    <row r="45" spans="1:26" ht="15.75" customHeight="1"/>
    <row r="46" spans="1:26" ht="15.75" customHeight="1"/>
    <row r="47" spans="1:26" ht="15.75" customHeight="1"/>
    <row r="48" spans="1:2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</sheetData>
  <dataValidations count="2">
    <dataValidation type="custom" allowBlank="1" showInputMessage="1" prompt="SORT CODE - Must be 6 digits long" sqref="C3:C35" xr:uid="{00000000-0002-0000-0100-000000000000}">
      <formula1>(LEN(C3) = (6))</formula1>
    </dataValidation>
    <dataValidation type="custom" allowBlank="1" showInputMessage="1" prompt="ACCOUNT NUMBER - Must be 8 digits long" sqref="C20 D2:D35" xr:uid="{00000000-0002-0000-0100-000001000000}">
      <formula1>(LEN(C2) = (8))</formula1>
    </dataValidation>
  </dataValidation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2.625" defaultRowHeight="15" customHeight="1"/>
  <cols>
    <col min="1" max="1" width="34.5" customWidth="1"/>
    <col min="2" max="4" width="7.625" customWidth="1"/>
    <col min="5" max="5" width="38.5" customWidth="1"/>
    <col min="6" max="6" width="7.625" customWidth="1"/>
    <col min="7" max="7" width="17.625" customWidth="1"/>
    <col min="8" max="26" width="7.625" customWidth="1"/>
  </cols>
  <sheetData>
    <row r="1" spans="1:26">
      <c r="A1" s="50" t="s">
        <v>44</v>
      </c>
      <c r="C1" s="51" t="s">
        <v>45</v>
      </c>
      <c r="E1" s="52" t="s">
        <v>46</v>
      </c>
      <c r="G1" s="53" t="s">
        <v>47</v>
      </c>
    </row>
    <row r="2" spans="1:26">
      <c r="A2" s="50"/>
      <c r="C2" s="51"/>
      <c r="E2" s="52"/>
      <c r="G2" s="53"/>
    </row>
    <row r="3" spans="1:26">
      <c r="A3" s="54" t="s">
        <v>12</v>
      </c>
      <c r="B3" s="2"/>
      <c r="C3" s="55" t="s">
        <v>12</v>
      </c>
      <c r="D3" s="2"/>
      <c r="E3" s="56" t="s">
        <v>48</v>
      </c>
      <c r="F3" s="2"/>
      <c r="G3" s="57" t="s">
        <v>49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>
      <c r="A4" s="54" t="s">
        <v>24</v>
      </c>
      <c r="B4" s="2"/>
      <c r="C4" s="55" t="s">
        <v>50</v>
      </c>
      <c r="D4" s="2"/>
      <c r="E4" s="58" t="s">
        <v>30</v>
      </c>
      <c r="F4" s="2"/>
      <c r="G4" s="57" t="s">
        <v>51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>
      <c r="E5" s="56" t="s">
        <v>52</v>
      </c>
      <c r="G5" s="57"/>
    </row>
    <row r="6" spans="1:26">
      <c r="E6" s="56" t="s">
        <v>49</v>
      </c>
      <c r="G6" s="57"/>
    </row>
    <row r="7" spans="1:26">
      <c r="E7" s="56" t="s">
        <v>53</v>
      </c>
      <c r="G7" s="57"/>
    </row>
    <row r="8" spans="1:26">
      <c r="A8" s="59" t="s">
        <v>54</v>
      </c>
      <c r="G8" s="57"/>
    </row>
    <row r="9" spans="1:26">
      <c r="A9" s="60" t="s">
        <v>55</v>
      </c>
    </row>
    <row r="10" spans="1:26">
      <c r="A10" s="61" t="s">
        <v>48</v>
      </c>
    </row>
    <row r="11" spans="1:26">
      <c r="A11" s="60" t="s">
        <v>30</v>
      </c>
    </row>
    <row r="12" spans="1:26">
      <c r="A12" s="61" t="s">
        <v>53</v>
      </c>
    </row>
    <row r="13" spans="1:26">
      <c r="A13" s="61" t="s">
        <v>49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a391075-58a7-4fb7-bf52-7d880d218150">
      <Terms xmlns="http://schemas.microsoft.com/office/infopath/2007/PartnerControls"/>
    </lcf76f155ced4ddcb4097134ff3c332f>
    <TaxCatchAll xmlns="e3a464cd-180e-410d-8fc6-f215e5931ae4" xsi:nil="true"/>
    <SharedWithUsers xmlns="e3a464cd-180e-410d-8fc6-f215e5931ae4">
      <UserInfo>
        <DisplayName>Luke Hardwick</DisplayName>
        <AccountId>73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14A6E49E37AC408E178607F343F7F5" ma:contentTypeVersion="15" ma:contentTypeDescription="Create a new document." ma:contentTypeScope="" ma:versionID="a3c5b612c1be4aaa069bc2b533edf274">
  <xsd:schema xmlns:xsd="http://www.w3.org/2001/XMLSchema" xmlns:xs="http://www.w3.org/2001/XMLSchema" xmlns:p="http://schemas.microsoft.com/office/2006/metadata/properties" xmlns:ns2="3a391075-58a7-4fb7-bf52-7d880d218150" xmlns:ns3="e3a464cd-180e-410d-8fc6-f215e5931ae4" targetNamespace="http://schemas.microsoft.com/office/2006/metadata/properties" ma:root="true" ma:fieldsID="b98d10415f6a8fc663487835316178b2" ns2:_="" ns3:_="">
    <xsd:import namespace="3a391075-58a7-4fb7-bf52-7d880d218150"/>
    <xsd:import namespace="e3a464cd-180e-410d-8fc6-f215e5931a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391075-58a7-4fb7-bf52-7d880d2181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110938f-afe1-4489-900a-41ddf953782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a464cd-180e-410d-8fc6-f215e5931ae4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c95dd0e7-15fd-4670-bc44-3e1de5b535e1}" ma:internalName="TaxCatchAll" ma:showField="CatchAllData" ma:web="e3a464cd-180e-410d-8fc6-f215e5931a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A2D08DF-5008-433A-B238-1EB8CDDE5939}"/>
</file>

<file path=customXml/itemProps2.xml><?xml version="1.0" encoding="utf-8"?>
<ds:datastoreItem xmlns:ds="http://schemas.openxmlformats.org/officeDocument/2006/customXml" ds:itemID="{D5AF6714-6A64-4F5E-BBF2-B281ADAD4709}"/>
</file>

<file path=customXml/itemProps3.xml><?xml version="1.0" encoding="utf-8"?>
<ds:datastoreItem xmlns:ds="http://schemas.openxmlformats.org/officeDocument/2006/customXml" ds:itemID="{23AB08E4-7D1B-4F57-BB4F-F2DF990B61E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mcadam</dc:creator>
  <cp:keywords/>
  <dc:description/>
  <cp:lastModifiedBy/>
  <cp:revision/>
  <dcterms:created xsi:type="dcterms:W3CDTF">2020-12-07T14:10:16Z</dcterms:created>
  <dcterms:modified xsi:type="dcterms:W3CDTF">2026-05-16T13:10:24Z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0x0101006514A6E49E37AC408E178607F343F7F5</vt:lpwstr>
  </property>
  <property fmtid="{D5CDD505-2E9C-101B-9397-08002B2CF9AE}" pid="3" name="MediaServiceImageTags">
    <vt:lpwstr/>
  </property>
</Properties>
</file>